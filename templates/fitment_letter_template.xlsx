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man\Downloads\"/>
    </mc:Choice>
  </mc:AlternateContent>
  <xr:revisionPtr revIDLastSave="0" documentId="13_ncr:1_{E073E200-3F7C-4D31-A451-00668D987C52}" xr6:coauthVersionLast="47" xr6:coauthVersionMax="47" xr10:uidLastSave="{00000000-0000-0000-0000-000000000000}"/>
  <bookViews>
    <workbookView xWindow="-120" yWindow="-120" windowWidth="29040" windowHeight="15720" xr2:uid="{41DDC970-A5D6-4BD3-B9C0-25F7EB926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C29" i="1"/>
  <c r="D24" i="1"/>
  <c r="C24" i="1"/>
  <c r="D22" i="1"/>
  <c r="D23" i="1" s="1"/>
  <c r="C22" i="1"/>
  <c r="C23" i="1" s="1"/>
  <c r="C25" i="1" l="1"/>
  <c r="C30" i="1"/>
  <c r="C31" i="1" s="1"/>
  <c r="C26" i="1"/>
  <c r="C27" i="1" s="1"/>
  <c r="C28" i="1" s="1"/>
  <c r="D25" i="1"/>
  <c r="D27" i="1" s="1"/>
  <c r="D28" i="1" s="1"/>
  <c r="D30" i="1"/>
  <c r="D31" i="1" s="1"/>
  <c r="D26" i="1"/>
</calcChain>
</file>

<file path=xl/sharedStrings.xml><?xml version="1.0" encoding="utf-8"?>
<sst xmlns="http://schemas.openxmlformats.org/spreadsheetml/2006/main" count="35" uniqueCount="35">
  <si>
    <t xml:space="preserve">RS MAN- TECH </t>
  </si>
  <si>
    <t>SALARY FITMENT LETTER</t>
  </si>
  <si>
    <r>
      <t xml:space="preserve">Name: </t>
    </r>
    <r>
      <rPr>
        <sz val="11"/>
        <color theme="1"/>
        <rFont val="Verdana"/>
        <family val="2"/>
      </rPr>
      <t xml:space="preserve">                                              SUDHIR PATIL</t>
    </r>
  </si>
  <si>
    <t>MANJUNATHA G</t>
  </si>
  <si>
    <r>
      <t xml:space="preserve">Designation:                                </t>
    </r>
    <r>
      <rPr>
        <sz val="11"/>
        <color rgb="FF000000"/>
        <rFont val="Verdana"/>
        <family val="2"/>
      </rPr>
      <t xml:space="preserve"> </t>
    </r>
    <r>
      <rPr>
        <sz val="10"/>
        <color rgb="FF000000"/>
        <rFont val="Verdana"/>
        <family val="2"/>
      </rPr>
      <t>SAP OPERATOR</t>
    </r>
  </si>
  <si>
    <t>DEO</t>
  </si>
  <si>
    <t>Department:                                  Logistics</t>
  </si>
  <si>
    <t>BOSCH</t>
  </si>
  <si>
    <t xml:space="preserve">Emp Code No:                                   </t>
  </si>
  <si>
    <t>RSMB-B225</t>
  </si>
  <si>
    <t>Date of Joining:                                 15/11/2015</t>
  </si>
  <si>
    <t>18.11.2025</t>
  </si>
  <si>
    <t>Particulars</t>
  </si>
  <si>
    <t>25-26</t>
  </si>
  <si>
    <t>Basic</t>
  </si>
  <si>
    <t>Da</t>
  </si>
  <si>
    <t>HRA</t>
  </si>
  <si>
    <t>Status Bonus</t>
  </si>
  <si>
    <t>Gross Take Home</t>
  </si>
  <si>
    <t>PF deduction 12%</t>
  </si>
  <si>
    <t>ESIC  0.75%</t>
  </si>
  <si>
    <t>PT</t>
  </si>
  <si>
    <t>Net Take Home</t>
  </si>
  <si>
    <t>Total Monthly Take Home</t>
  </si>
  <si>
    <t>PF  13%</t>
  </si>
  <si>
    <t>ESIC 3.25%</t>
  </si>
  <si>
    <t>Final CTC</t>
  </si>
  <si>
    <t xml:space="preserve">I ______________agree to the above salary fitment with my full consent           </t>
  </si>
  <si>
    <t xml:space="preserve"> and accept the Increment Letter.</t>
  </si>
  <si>
    <t>Bonus will be add in your monthly salary.</t>
  </si>
  <si>
    <t>Place: Bangalore</t>
  </si>
  <si>
    <t>Date -</t>
  </si>
  <si>
    <t xml:space="preserve">                                                 </t>
  </si>
  <si>
    <t>Signature</t>
  </si>
  <si>
    <t>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</si>
</sst>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sz val="11"/>
      <color theme="1"/>
      <name val="Verdana"/>
      <family val="2"/>
    </font>
    <font>
      <b/>
      <u/>
      <sz val="11"/>
      <color rgb="FF000000"/>
      <name val="Verdana"/>
      <family val="2"/>
    </font>
    <font>
      <sz val="10"/>
      <color theme="1"/>
      <name val="Verdana"/>
      <family val="2"/>
    </font>
    <font>
      <sz val="12"/>
      <color rgb="FF000000"/>
      <name val="Verdana"/>
      <family val="2"/>
    </font>
    <font>
      <sz val="10"/>
      <name val="Arial"/>
      <family val="2"/>
    </font>
    <font>
      <sz val="11"/>
      <name val="Verdana"/>
      <family val="2"/>
    </font>
    <font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1"/>
      <name val="Verdana"/>
      <family val="2"/>
    </font>
    <font>
      <b/>
      <sz val="12"/>
      <color rgb="FF000000"/>
      <name val="Verdana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3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1" applyFont="1" applyAlignment="1">
      <alignment horizontal="center" vertical="center"/>
    </xf>
    <xf numFmtId="0" fontId="2" fillId="0" borderId="0" xfId="2" applyFont="1"/>
    <xf numFmtId="0" fontId="2" fillId="0" borderId="0" xfId="3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4">
    <cellStyle name="Normal" xfId="0" builtinId="0"/>
    <cellStyle name="Normal 10" xfId="1" xr:uid="{5E8957A5-1A5A-4970-B8B3-CFA00DFDAA95}"/>
    <cellStyle name="Normal 27" xfId="2" xr:uid="{F7DA56FD-5437-4C3C-A03C-B9855E8185BF}"/>
    <cellStyle name="Normal 4 2" xfId="3" xr:uid="{C94A66F3-23CB-45CC-9268-60F0B55A84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CFAD4-CD39-4059-AD21-2A697CC7D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50302A-E5CA-4EE9-8F35-DB6BC626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E675C6-8154-4234-AA96-9B65BB3DA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4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6ABF6A-BEC9-49F0-9786-45DC4913E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7D9F18-C980-4040-A602-1E10DC64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A43D0F-FD98-41A6-B9CB-7D80B81F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6FCCE3-46B0-462D-8A01-D7C6E36A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D4F5A8-CFB4-4F79-BBA9-69C820E35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3C780D7-C05C-45D0-B66E-F744E138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4A0C89-B817-4B9B-A5FA-1B087802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4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8113C6-89BF-4FC4-8FAE-8EE51BF5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4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86AFDE-DDE6-412B-A0CB-DFAD72619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171450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47A3BD9-0B3F-4054-9E64-0116E264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807877-3130-46C8-954E-03E0BD7F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777240</xdr:colOff>
      <xdr:row>3</xdr:row>
      <xdr:rowOff>83820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B3C807B-AFA9-4733-8F9B-AD19633DC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7724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F24C77-8512-47E5-8B06-64AD5196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C038958-DC94-471D-8AE7-4E2C8577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B0F46C7-BE46-4B96-84DE-FDA84ACFE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4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3038B3-6B7B-42E8-928D-C152BD6FE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161925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2B67DCF-598B-43B8-B213-25B6279E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133350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932D6C-3BEC-42A6-B726-22813254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D615E34-28DA-44A1-81A1-BAA42FCA0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142875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5DE1B12-DA6C-403E-A4BD-68791EFB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161925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154D98-5034-495B-AF81-8D2FA13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85725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0AB11A4-3A9D-498E-9924-7B7628AF8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4</xdr:row>
      <xdr:rowOff>57150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B51F6E3-F7A7-49E8-9DFB-9A54F02C8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4</xdr:row>
      <xdr:rowOff>19050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F359375-8484-4600-9898-13B177BF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171450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AFF53D0-05BD-411A-B796-E8D67E2C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142875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2739528-6929-4283-B44F-5D9D39155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762000</xdr:colOff>
      <xdr:row>3</xdr:row>
      <xdr:rowOff>114300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964FCF7-A3C7-4ECC-97D5-2DD5D5E4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620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952500</xdr:colOff>
      <xdr:row>3</xdr:row>
      <xdr:rowOff>85725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A7BE57B-020E-48DF-ABD9-D43D01275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9525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4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2F50629-854F-4E66-98B5-1B05405A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152400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0BD950C-1045-4F5A-88B0-7BBC324C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123825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A87E736-9520-45FB-B3BD-A6F4E1FD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4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8846E68-EB86-449C-BAD1-6E40A217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38178A0-F80C-4D8C-B515-D1121BCE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133350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3A7FC09-DBC1-4593-9939-7B68C49DB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104775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9463628-CC05-47F6-B840-0CB77CAA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142875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85DF03C-0F8A-410D-A015-87C19EEE8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89C08C1-AF30-4A13-ACA5-F113114F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85725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7267F2F-01C3-475E-8303-46A967BAE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4</xdr:row>
      <xdr:rowOff>57150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D9CBFD8-E872-4089-B33E-CB89AB65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4</xdr:row>
      <xdr:rowOff>19050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F4B1877-0BAB-45D2-9CE7-41CF4D0CF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171450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6151F48-1975-46BC-A641-5DEA9AFE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142875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ECAA7D1-E52C-4A31-BE98-801EBADD6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746760</xdr:colOff>
      <xdr:row>3</xdr:row>
      <xdr:rowOff>114300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872D572-95B4-4CAA-A9C8-AC87A9E2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4676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937260</xdr:colOff>
      <xdr:row>3</xdr:row>
      <xdr:rowOff>85725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3FA36C9-1F45-4A00-971D-1573DC0BF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93726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4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A5369B2-8283-488A-9C90-97C8B0177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152400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5DFC01A-7532-426B-934F-06C9DD97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123825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7249055-60EB-45C3-A95E-A86B9741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4</xdr:row>
      <xdr:rowOff>9525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78867DF-B63B-4713-B183-D560D9B9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161925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D9B14EC-8E40-417C-9B55-984E283DE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133350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2BE27B8-34B8-4042-8E38-DF443007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104775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239365F-9322-4A1B-B58F-0F38C05B3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142875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2FC64BF-57DF-461D-9443-0E8C4EB6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161925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CC0BF16-3020-48C8-82FE-4DC51D22C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85725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A7473D9-3A09-4E32-B171-FF0F31D3A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4</xdr:row>
      <xdr:rowOff>57150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60026AF-0D43-4DDC-B704-CDD8ED1D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4</xdr:row>
      <xdr:rowOff>19050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2DFA55A-6678-44DA-AEF7-47B5611D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B2E30B8-9F4B-4DFA-91C8-E9B04822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142875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33C6E64-1660-43DB-94D0-FAAA8772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731520</xdr:colOff>
      <xdr:row>3</xdr:row>
      <xdr:rowOff>114300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7EE28DE-12A2-431A-B41B-4AEBED28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3152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922020</xdr:colOff>
      <xdr:row>3</xdr:row>
      <xdr:rowOff>85725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44C1A8E-27FE-41FD-83BC-C28ADB72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92202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4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D72656A-E12E-4972-B5DF-18775A29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152400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D55CDFA-F9D8-4D61-95C6-73518D5AA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123825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03DCA7D-046F-4273-BF8E-75CDDCAF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4</xdr:row>
      <xdr:rowOff>9525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C5D11D8-9C91-49EE-9606-F173A5CD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C99DA6C-34CC-45CD-B41D-1FBD194E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133350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63E5671-5736-453F-AE84-1CAC54D3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104775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FEE7B43-DE23-4B1E-852E-EAC2F98EF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142875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4709A63-F33F-47DA-B3EB-1F7F77AB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BB7BD13-174E-4B8F-AABB-2A6D8815E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85725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894C868-B36B-4244-9F9A-153EE735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4</xdr:row>
      <xdr:rowOff>57150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D3C9517-4075-4783-9221-89860E63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4</xdr:row>
      <xdr:rowOff>19050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5ABF961-A874-4014-96B8-A1DC9479E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171450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1FFDD0D-B0E6-412A-BA1D-31BEF276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142875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0F8261D-027E-45FF-BDEB-157EEB2F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716280</xdr:colOff>
      <xdr:row>3</xdr:row>
      <xdr:rowOff>114300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4F78C83-6B78-48D1-B1F2-EACCE581C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1628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906780</xdr:colOff>
      <xdr:row>3</xdr:row>
      <xdr:rowOff>85725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A3376E3-D799-410A-AF39-9392B4A7F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90678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4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AD308E9-2B76-4C4D-AC2F-E91E348FA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152400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6702C75-C216-42B0-A867-CAD4D14DD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123825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CAC5E0B6-0072-448A-87D6-B40AD9A02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4</xdr:row>
      <xdr:rowOff>9525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6BD377F-667E-47E1-ACB8-5646B0DE1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161925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9148D502-00D3-4733-AA75-A75934644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133350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3384003-AB20-4744-8210-94E5AFEF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104775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FC7FB58-AE4D-4E02-8801-821A8862D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142875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057D78D-BC63-47FB-A30F-FEBD18B9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94D0121-D9A4-4843-AFC5-73DA4ED4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85725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F483B0E-AF23-415E-93D4-6BA45FFC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4</xdr:row>
      <xdr:rowOff>57150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A2E5584-58BE-4497-82A9-DEF8E885D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4</xdr:row>
      <xdr:rowOff>19050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1E73E55-60F6-4A79-AE4E-B75DA023A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171450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EA6F275-CA9B-4DB4-8589-AF8A4CB35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142875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AF081BD-8E0F-4E35-94D3-D87D1B3F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701040</xdr:colOff>
      <xdr:row>3</xdr:row>
      <xdr:rowOff>114300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7F751D6-4243-43FB-883A-5CBF8E90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70104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891540</xdr:colOff>
      <xdr:row>3</xdr:row>
      <xdr:rowOff>85725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058D0B1-3CB9-414B-A277-F394EB4C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89154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F81E66B-2ED5-4C37-9B24-D44D36E5D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152400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C9D7625-609E-46C7-84AF-7DDF29924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123825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20E5D6E-DEF9-4D80-B51C-031C53703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9525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34AEF8A-219A-4CAD-9686-0B2528256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161925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8C79D7C-9101-4480-9C59-79AAC90C1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133350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677A368-F5D9-47E8-9414-4C17B450C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104775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439BCB5-892C-471E-8947-920176BE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142875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503EA85A-9BE3-4A81-8BF4-4C5E717AD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161925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6C55E7C-158E-452E-AFE0-9021BEF3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85725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46D4196-20AC-4433-8F5E-1AC0FB31F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57150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580A2F7-EBC8-4D20-A3AD-A6FB9C64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19050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F886ADF-D841-4FEB-A81E-DF6B4B5DD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171450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3DF93F6-28AA-4BDB-A98B-E9349385D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142875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439833F-4B48-4213-A9CB-A6179AAB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114300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365364C-0F54-40CC-8566-E93712AE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876300</xdr:colOff>
      <xdr:row>3</xdr:row>
      <xdr:rowOff>85725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7FFA76D6-E294-4006-860A-F9C41B199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8763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152400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B5C04A27-6445-4A4A-A3D0-A3A70C84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123825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B8FC51D4-21CD-4EAE-A99D-91BECE3A5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9525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EC396C3-513F-4F07-A8D2-C0A41933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161925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B2EBD3DD-A2AD-4193-8A87-D4108AC9D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133350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5D1CA26-068A-48C7-B351-C62DCF91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104775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C6B80E8D-A18A-472B-AA22-34C2D657A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142875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A5320C3-7816-46D9-A84F-F6EA1506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3ABBE34-CB35-4D3B-A378-85D59D6A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85725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B548BB3-B4AF-4511-BCF0-975EED9A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57150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768ED96-F190-49BC-86F6-6CF596A07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19050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291A831-2167-4E2D-B6B7-0484BD81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171450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B7D1B7B-9260-49BF-9F55-8F19690B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142875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01F773B-F897-4CA4-A4B6-FBA47079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114300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55EE6714-F04B-449A-AA90-6D7C4ED10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876300</xdr:colOff>
      <xdr:row>3</xdr:row>
      <xdr:rowOff>85725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E650810-DC71-4CC6-A666-EDAD2EB0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8763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123825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8541F48-6608-4654-81C8-8748550E9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9525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3CD655D-D217-433D-98C0-467B13DDA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161925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6FA86B9-8B0A-415F-84DD-6BF15C0F1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133350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5AB6617-5793-4B20-9D41-C78B4FF4A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104775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D787831-C803-48B3-AAE2-0F9B56C9F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142875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E7811CE3-9900-4CA9-8203-4C8628FF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161925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AE63BCB0-1A84-4E08-ADE5-731FDAC79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85725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9B050364-15C0-4CF5-B300-499BDE1FA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57150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EBBCDC5-CC5D-400A-9ADA-16B37AFC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4</xdr:row>
      <xdr:rowOff>19050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7CA8030-14A3-4E50-9602-502171346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171450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78F56C70-44FB-465F-BC07-B636FE55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142875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F68CCC3-F128-411A-B107-2A1EA54E9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685800</xdr:colOff>
      <xdr:row>3</xdr:row>
      <xdr:rowOff>114300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DB5AA926-91B7-4BCC-A3AB-0B8D07D2D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685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28575</xdr:rowOff>
    </xdr:from>
    <xdr:to>
      <xdr:col>2</xdr:col>
      <xdr:colOff>876300</xdr:colOff>
      <xdr:row>3</xdr:row>
      <xdr:rowOff>85725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535A72C-141C-4B07-9CE7-78DFC0B2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575"/>
          <a:ext cx="8763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</xdr:colOff>
      <xdr:row>39</xdr:row>
      <xdr:rowOff>108585</xdr:rowOff>
    </xdr:from>
    <xdr:to>
      <xdr:col>1</xdr:col>
      <xdr:colOff>744855</xdr:colOff>
      <xdr:row>43</xdr:row>
      <xdr:rowOff>120015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11682AC-0B23-4D6A-882D-DEFFFC9AB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7480935"/>
          <a:ext cx="708660" cy="735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9D7D-BD77-4F2F-8943-855B80A67DE2}">
  <dimension ref="B5:G39"/>
  <sheetViews>
    <sheetView tabSelected="1" workbookViewId="0">
      <selection activeCell="D18" sqref="D18"/>
    </sheetView>
  </sheetViews>
  <sheetFormatPr defaultColWidth="9.140625" defaultRowHeight="14.25" x14ac:dyDescent="0.2"/>
  <cols>
    <col min="1" max="1" width="1.5703125" style="2" customWidth="1"/>
    <col min="2" max="2" width="35.5703125" style="2" customWidth="1"/>
    <col min="3" max="3" width="22.140625" style="11" customWidth="1"/>
    <col min="4" max="4" width="23.85546875" style="2" customWidth="1"/>
    <col min="5" max="16384" width="9.140625" style="2"/>
  </cols>
  <sheetData>
    <row r="5" spans="2:7" ht="19.5" x14ac:dyDescent="0.25">
      <c r="B5" s="1" t="s">
        <v>0</v>
      </c>
      <c r="C5" s="1"/>
      <c r="D5" s="1"/>
    </row>
    <row r="7" spans="2:7" x14ac:dyDescent="0.2">
      <c r="B7" s="3" t="s">
        <v>1</v>
      </c>
      <c r="C7" s="3"/>
      <c r="D7" s="3"/>
    </row>
    <row r="8" spans="2:7" x14ac:dyDescent="0.2">
      <c r="B8" s="4"/>
      <c r="C8" s="4"/>
      <c r="D8" s="4"/>
    </row>
    <row r="9" spans="2:7" ht="15" x14ac:dyDescent="0.2">
      <c r="C9" s="5"/>
      <c r="E9" s="6"/>
      <c r="F9" s="6"/>
      <c r="G9" s="6"/>
    </row>
    <row r="10" spans="2:7" ht="15" x14ac:dyDescent="0.2">
      <c r="B10" s="7" t="s">
        <v>2</v>
      </c>
      <c r="C10" s="8" t="s">
        <v>3</v>
      </c>
      <c r="D10" s="9"/>
    </row>
    <row r="11" spans="2:7" ht="15" x14ac:dyDescent="0.2">
      <c r="B11" s="7" t="s">
        <v>4</v>
      </c>
      <c r="C11" s="10" t="s">
        <v>5</v>
      </c>
      <c r="D11" s="7"/>
    </row>
    <row r="12" spans="2:7" ht="15" x14ac:dyDescent="0.2">
      <c r="B12" s="7" t="s">
        <v>6</v>
      </c>
      <c r="C12" s="5" t="s">
        <v>7</v>
      </c>
      <c r="D12" s="7"/>
    </row>
    <row r="13" spans="2:7" ht="15" x14ac:dyDescent="0.2">
      <c r="B13" s="7"/>
      <c r="C13" s="5"/>
      <c r="D13" s="7"/>
    </row>
    <row r="14" spans="2:7" ht="15" x14ac:dyDescent="0.2">
      <c r="B14" s="7"/>
      <c r="C14" s="5"/>
      <c r="D14" s="7"/>
    </row>
    <row r="15" spans="2:7" ht="15" x14ac:dyDescent="0.2">
      <c r="B15" s="7" t="s">
        <v>8</v>
      </c>
      <c r="C15" s="11" t="s">
        <v>9</v>
      </c>
      <c r="D15" s="7"/>
    </row>
    <row r="16" spans="2:7" ht="15" x14ac:dyDescent="0.2">
      <c r="B16" s="7" t="s">
        <v>10</v>
      </c>
      <c r="C16" s="12" t="s">
        <v>11</v>
      </c>
      <c r="D16" s="7"/>
    </row>
    <row r="17" spans="2:4" ht="15" thickBot="1" x14ac:dyDescent="0.25">
      <c r="B17" s="13"/>
      <c r="C17" s="13"/>
      <c r="D17" s="13"/>
    </row>
    <row r="18" spans="2:4" ht="15" x14ac:dyDescent="0.2">
      <c r="B18" s="14" t="s">
        <v>12</v>
      </c>
      <c r="C18" s="15" t="s">
        <v>13</v>
      </c>
      <c r="D18" s="15" t="s">
        <v>34</v>
      </c>
    </row>
    <row r="19" spans="2:4" ht="15" x14ac:dyDescent="0.2">
      <c r="B19" s="16" t="s">
        <v>14</v>
      </c>
      <c r="C19" s="17">
        <v>10510</v>
      </c>
      <c r="D19" s="17">
        <v>11562</v>
      </c>
    </row>
    <row r="20" spans="2:4" ht="15" x14ac:dyDescent="0.2">
      <c r="B20" s="16" t="s">
        <v>15</v>
      </c>
      <c r="C20" s="18">
        <v>4549</v>
      </c>
      <c r="D20" s="18">
        <v>4549</v>
      </c>
    </row>
    <row r="21" spans="2:4" ht="15" x14ac:dyDescent="0.2">
      <c r="B21" s="16" t="s">
        <v>16</v>
      </c>
      <c r="C21" s="19">
        <v>737</v>
      </c>
      <c r="D21" s="19">
        <v>4480</v>
      </c>
    </row>
    <row r="22" spans="2:4" ht="15" x14ac:dyDescent="0.2">
      <c r="B22" s="16" t="s">
        <v>17</v>
      </c>
      <c r="C22" s="17">
        <f>(C19+C20)*8.33%</f>
        <v>1254.4147</v>
      </c>
      <c r="D22" s="17">
        <f>(D19+D20)*8.33%</f>
        <v>1342.0463</v>
      </c>
    </row>
    <row r="23" spans="2:4" ht="15" x14ac:dyDescent="0.2">
      <c r="B23" s="20" t="s">
        <v>18</v>
      </c>
      <c r="C23" s="21">
        <f>SUM(C19:C22)</f>
        <v>17050.414700000001</v>
      </c>
      <c r="D23" s="21">
        <f>SUM(D19:D22)</f>
        <v>21933.046300000002</v>
      </c>
    </row>
    <row r="24" spans="2:4" ht="15" x14ac:dyDescent="0.2">
      <c r="B24" s="16" t="s">
        <v>19</v>
      </c>
      <c r="C24" s="17">
        <f>(C19+C20)*12%</f>
        <v>1807.08</v>
      </c>
      <c r="D24" s="17">
        <f>(D19+D20)*12%</f>
        <v>1933.32</v>
      </c>
    </row>
    <row r="25" spans="2:4" ht="15" x14ac:dyDescent="0.2">
      <c r="B25" s="16" t="s">
        <v>20</v>
      </c>
      <c r="C25" s="22">
        <f>+IF(C23&lt;20999,C23*0.75%,0)</f>
        <v>127.87811025000001</v>
      </c>
      <c r="D25" s="22">
        <f>+IF(D23&lt;20999,D23*0.75%,0)</f>
        <v>0</v>
      </c>
    </row>
    <row r="26" spans="2:4" ht="15" x14ac:dyDescent="0.2">
      <c r="B26" s="16" t="s">
        <v>21</v>
      </c>
      <c r="C26" s="23">
        <f>ROUND(IF(C23&gt;=25000,200,0),0)</f>
        <v>0</v>
      </c>
      <c r="D26" s="23">
        <f>ROUND(IF(D23&gt;=25000,200,0),0)</f>
        <v>0</v>
      </c>
    </row>
    <row r="27" spans="2:4" ht="15" x14ac:dyDescent="0.2">
      <c r="B27" s="20" t="s">
        <v>22</v>
      </c>
      <c r="C27" s="21">
        <f>C23-C24-C25-C26</f>
        <v>15115.456589750002</v>
      </c>
      <c r="D27" s="21">
        <f>D23-D24-D25-D26</f>
        <v>19999.726300000002</v>
      </c>
    </row>
    <row r="28" spans="2:4" ht="15" x14ac:dyDescent="0.2">
      <c r="B28" s="20" t="s">
        <v>23</v>
      </c>
      <c r="C28" s="21">
        <f>C27</f>
        <v>15115.456589750002</v>
      </c>
      <c r="D28" s="21">
        <f>D27</f>
        <v>19999.726300000002</v>
      </c>
    </row>
    <row r="29" spans="2:4" ht="15" x14ac:dyDescent="0.2">
      <c r="B29" s="16" t="s">
        <v>24</v>
      </c>
      <c r="C29" s="17">
        <f>(C19+C20)*13%</f>
        <v>1957.67</v>
      </c>
      <c r="D29" s="17">
        <f>(D19+D20)*13%</f>
        <v>2094.4300000000003</v>
      </c>
    </row>
    <row r="30" spans="2:4" ht="15" x14ac:dyDescent="0.2">
      <c r="B30" s="16" t="s">
        <v>25</v>
      </c>
      <c r="C30" s="22">
        <f>+IF(C23&lt;20999,C23*3.25%,0)</f>
        <v>554.13847775000011</v>
      </c>
      <c r="D30" s="22">
        <f>+IF(D23&lt;20999,D23*3.25%,0)</f>
        <v>0</v>
      </c>
    </row>
    <row r="31" spans="2:4" ht="15" x14ac:dyDescent="0.2">
      <c r="B31" s="20" t="s">
        <v>26</v>
      </c>
      <c r="C31" s="21">
        <f>C23+C29+C30</f>
        <v>19562.223177749998</v>
      </c>
      <c r="D31" s="21">
        <f>D23+D29+D30</f>
        <v>24027.476300000002</v>
      </c>
    </row>
    <row r="33" spans="2:7" x14ac:dyDescent="0.2">
      <c r="B33" s="24" t="s">
        <v>27</v>
      </c>
      <c r="C33" s="24"/>
      <c r="D33" s="24"/>
      <c r="E33" s="24"/>
      <c r="F33" s="24"/>
      <c r="G33" s="24"/>
    </row>
    <row r="34" spans="2:7" x14ac:dyDescent="0.2">
      <c r="B34" s="24" t="s">
        <v>28</v>
      </c>
      <c r="C34" s="24"/>
      <c r="D34" s="24"/>
      <c r="E34" s="24"/>
      <c r="F34" s="24"/>
      <c r="G34" s="24"/>
    </row>
    <row r="35" spans="2:7" x14ac:dyDescent="0.2">
      <c r="B35" s="25" t="s">
        <v>29</v>
      </c>
      <c r="C35" s="26"/>
      <c r="D35" s="25"/>
      <c r="E35" s="25"/>
      <c r="F35" s="25"/>
      <c r="G35" s="25"/>
    </row>
    <row r="36" spans="2:7" ht="15" x14ac:dyDescent="0.25">
      <c r="B36" s="25"/>
      <c r="C36" s="26"/>
      <c r="D36"/>
      <c r="E36" s="25"/>
      <c r="F36" s="25"/>
      <c r="G36" s="25"/>
    </row>
    <row r="37" spans="2:7" x14ac:dyDescent="0.2">
      <c r="B37" s="27"/>
    </row>
    <row r="38" spans="2:7" ht="15" x14ac:dyDescent="0.2">
      <c r="B38" s="28" t="s">
        <v>30</v>
      </c>
      <c r="C38" s="29"/>
      <c r="D38" s="28"/>
    </row>
    <row r="39" spans="2:7" ht="15" x14ac:dyDescent="0.2">
      <c r="B39" s="28" t="s">
        <v>31</v>
      </c>
      <c r="C39" s="30" t="s">
        <v>32</v>
      </c>
      <c r="D39" s="30" t="s">
        <v>33</v>
      </c>
      <c r="F39" s="31"/>
    </row>
  </sheetData>
  <mergeCells count="6">
    <mergeCell ref="B5:D5"/>
    <mergeCell ref="B7:D7"/>
    <mergeCell ref="B8:D8"/>
    <mergeCell ref="B17:D17"/>
    <mergeCell ref="B33:G33"/>
    <mergeCell ref="B34: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MANTECH</dc:creator>
  <cp:lastModifiedBy>RS MANTECH</cp:lastModifiedBy>
  <dcterms:created xsi:type="dcterms:W3CDTF">2026-09-03T05:45:19Z</dcterms:created>
  <dcterms:modified xsi:type="dcterms:W3CDTF">2026-09-03T05:45:55Z</dcterms:modified>
</cp:coreProperties>
</file>